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nick/dev/sc_utility/examples/"/>
    </mc:Choice>
  </mc:AlternateContent>
  <xr:revisionPtr revIDLastSave="0" documentId="13_ncr:1_{499C63BA-DCA8-0A4C-8624-B28EA497AA01}" xr6:coauthVersionLast="47" xr6:coauthVersionMax="47" xr10:uidLastSave="{00000000-0000-0000-0000-000000000000}"/>
  <bookViews>
    <workbookView xWindow="-47960" yWindow="6020" windowWidth="39060" windowHeight="30740" activeTab="1" xr2:uid="{00000000-000D-0000-FFFF-FFFF00000000}"/>
  </bookViews>
  <sheets>
    <sheet name="Providers" sheetId="1" r:id="rId1"/>
    <sheet name="Field Mapping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8" i="2" l="1"/>
  <c r="D38" i="2"/>
  <c r="C38" i="2"/>
  <c r="F37" i="2"/>
  <c r="D37" i="2"/>
  <c r="C37" i="2"/>
  <c r="D36" i="2"/>
  <c r="C36" i="2"/>
  <c r="D35" i="2"/>
  <c r="C35" i="2"/>
  <c r="I34" i="2"/>
  <c r="H34" i="2"/>
  <c r="G34" i="2"/>
  <c r="D34" i="2"/>
  <c r="C34" i="2"/>
  <c r="C31" i="2"/>
  <c r="C30" i="2"/>
  <c r="F28" i="2"/>
  <c r="F27" i="2"/>
  <c r="I23" i="2"/>
  <c r="H23" i="2"/>
  <c r="G23" i="2"/>
  <c r="F23" i="2"/>
  <c r="E23" i="2"/>
  <c r="F22" i="2"/>
  <c r="F21" i="2"/>
  <c r="F20" i="2"/>
  <c r="F18" i="2"/>
  <c r="F17" i="2"/>
  <c r="F15" i="2"/>
  <c r="F14" i="2"/>
  <c r="F13" i="2"/>
  <c r="I12" i="2"/>
  <c r="H12" i="2"/>
  <c r="G12" i="2"/>
  <c r="F12" i="2"/>
  <c r="E12" i="2"/>
  <c r="D12" i="2"/>
  <c r="C12" i="2"/>
  <c r="F11" i="2"/>
  <c r="F10" i="2"/>
  <c r="F9" i="2"/>
  <c r="F8" i="2"/>
</calcChain>
</file>

<file path=xl/sharedStrings.xml><?xml version="1.0" encoding="utf-8"?>
<sst xmlns="http://schemas.openxmlformats.org/spreadsheetml/2006/main" count="311" uniqueCount="233">
  <si>
    <t>WeatherClient API Field Mapping</t>
  </si>
  <si>
    <t>Provider</t>
  </si>
  <si>
    <t>Service</t>
  </si>
  <si>
    <t>Type</t>
  </si>
  <si>
    <t>Intervals</t>
  </si>
  <si>
    <t>API Documentation</t>
  </si>
  <si>
    <t>Sample API Call</t>
  </si>
  <si>
    <t>OpenWeatherMap (OWM)</t>
  </si>
  <si>
    <t>v2.5 Free</t>
  </si>
  <si>
    <t>Current Forecast</t>
  </si>
  <si>
    <t>N/A</t>
  </si>
  <si>
    <t>https://openweathermap.org/current?collection=current_forecast</t>
  </si>
  <si>
    <t>https://api.openweathermap.org/data/2.5/weather?lat=-33.0&amp;lon=151.0&amp;appid=API_KEY</t>
  </si>
  <si>
    <t>Hourly Forecast</t>
  </si>
  <si>
    <t>3 hours / 5 days</t>
  </si>
  <si>
    <t>https://openweathermap.org/forecast5?collection=current_forecast</t>
  </si>
  <si>
    <t>https://api.openweathermap.org/data/2.5/forecast?lat=-33.0&amp;lon=151.0&amp;appid=API_KEY</t>
  </si>
  <si>
    <t>v3 Paid "One Call"</t>
  </si>
  <si>
    <t>https://openweathermap.org/api/one-call-3</t>
  </si>
  <si>
    <t>https://api.openweathermap.org/data/3.0/onecall?lat=-33.0&amp;lon=151.0&amp;units=metric&amp;exclude=&amp;minutely,alerts&amp;appid=API_KEY</t>
  </si>
  <si>
    <t>1 hour / 2 days</t>
  </si>
  <si>
    <t>-- " --</t>
  </si>
  <si>
    <t>Daily Forecast</t>
  </si>
  <si>
    <t>7 days</t>
  </si>
  <si>
    <t>Open Meteo</t>
  </si>
  <si>
    <t>Free WeatherForecast</t>
  </si>
  <si>
    <t>Current</t>
  </si>
  <si>
    <t>https://open-meteo.com/en/docs</t>
  </si>
  <si>
    <t>https://api.open-meteo.com/v1/forecast?latitude=-33.0&amp;longitude=151.0&amp;timezone=auto&amp;current=temperature_2m,apparent_temperature,relative_humidity_2m,dew_point_2m,precipitation_probability,rain,weather_code,cloud_cover,pressure_msl,wind_speed_10m,wind_direction_10m,wind_gusts_10m,visibility,is_day&amp;daily=temperature_2m_max,temperature_2m_min,uv_index_max,sunrise,sunset</t>
  </si>
  <si>
    <t>1 hour / 7 days</t>
  </si>
  <si>
    <t>https://api.open-meteo.com/v1/forecast?latitude=-33.0&amp;longitude=151.0&amp;timezone=auto&amp;hourly=temperature_2m,apparent_temperature,relative_humidity_2m,dew_point_2m,precipitation_probability,rain,weather_code,cloud_cover,pressure_msl,wind_speed_10m,wind_direction_10m,wind_gusts_10m,visibility,is_day&amp;daily=sunrise,sunset</t>
  </si>
  <si>
    <t>Up to 16 days</t>
  </si>
  <si>
    <t>https://api.open-meteo.com/v1/forecast?latitude=-33.0&amp;longitude=151.0&amp;timezone=auto&amp;forecast_days=16&amp;daily=weather_code,temperature_2m_mean,temperature_2m_max,temperature_2m_min,apparent_temperature_mean,cloud_cover_mean,visibility_mean,uv_index_max,rain_sum,precipitation_probability_max,pressure_msl_mean,relative_humidity_2m_mean,dew_point_2m_mean,wind_speed_10m_mean,wind_direction_10m_dominant,wind_gusts_10m_max,sunrise,sunset</t>
  </si>
  <si>
    <t>API Provider &gt;&gt;&gt;&gt;</t>
  </si>
  <si>
    <t>WeatherClient Field</t>
  </si>
  <si>
    <t>OWM v3: Current</t>
  </si>
  <si>
    <t>OWM v3: Hourly</t>
  </si>
  <si>
    <t>OWM v3: Daily</t>
  </si>
  <si>
    <t>OWM v2.5: Current</t>
  </si>
  <si>
    <t>OWM v2.5: Hourly</t>
  </si>
  <si>
    <t>OpenMeteo Current</t>
  </si>
  <si>
    <t>OpenMeteo Hourly</t>
  </si>
  <si>
    <t>OpenMeteo Daily</t>
  </si>
  <si>
    <t>WeatherReading</t>
  </si>
  <si>
    <t>utc_time</t>
  </si>
  <si>
    <t>dt</t>
  </si>
  <si>
    <t>hourly[].dt</t>
  </si>
  <si>
    <t>daily[].dt</t>
  </si>
  <si>
    <t>list[].dt</t>
  </si>
  <si>
    <t>Derived from current.time</t>
  </si>
  <si>
    <t>Derived from hourly.time[]</t>
  </si>
  <si>
    <t>Derived from daily.time[]</t>
  </si>
  <si>
    <t>local_time</t>
  </si>
  <si>
    <t>current.time</t>
  </si>
  <si>
    <t>hourly.time[]</t>
  </si>
  <si>
    <t>daily.time[]</t>
  </si>
  <si>
    <t>temperature.reading</t>
  </si>
  <si>
    <t>current.temp</t>
  </si>
  <si>
    <t>hourly[].temp</t>
  </si>
  <si>
    <t>daily[].temp.day</t>
  </si>
  <si>
    <t>main.temp</t>
  </si>
  <si>
    <t>current.temperature_2m</t>
  </si>
  <si>
    <t>hourly.temperature_2m[]</t>
  </si>
  <si>
    <t>daily.temperature_2m_mean[]</t>
  </si>
  <si>
    <t>temperature.high</t>
  </si>
  <si>
    <t>daily[0].temp.max</t>
  </si>
  <si>
    <t>None</t>
  </si>
  <si>
    <t>daily[].temp.max</t>
  </si>
  <si>
    <t>main.temp_max</t>
  </si>
  <si>
    <t>daily.temperature_2m_max[0]</t>
  </si>
  <si>
    <t>daily.temperature_2m_max[]</t>
  </si>
  <si>
    <t>temperature.low</t>
  </si>
  <si>
    <t>daily[0].temp.min</t>
  </si>
  <si>
    <t>daily[].temp.min</t>
  </si>
  <si>
    <t>main.temp_min</t>
  </si>
  <si>
    <t>daily.temperature_2m_min[0]</t>
  </si>
  <si>
    <t>daily.temperature_2m_min[]</t>
  </si>
  <si>
    <t>temperature.feels_like</t>
  </si>
  <si>
    <t>current.feels_like</t>
  </si>
  <si>
    <t>hourly[].feels_like</t>
  </si>
  <si>
    <t>daily[].feels_like.day</t>
  </si>
  <si>
    <t>main.feels_like</t>
  </si>
  <si>
    <t>current.apparent_temperature</t>
  </si>
  <si>
    <t>hourly.apparent_temperature[]</t>
  </si>
  <si>
    <t>daily.apparent_temperature_mean[]</t>
  </si>
  <si>
    <t>temperature.units</t>
  </si>
  <si>
    <t>="C"</t>
  </si>
  <si>
    <t>sky.title</t>
  </si>
  <si>
    <t>current.weather.main</t>
  </si>
  <si>
    <t>hourly[].weather.main</t>
  </si>
  <si>
    <t>daily[].weather.main</t>
  </si>
  <si>
    <t>weather.main</t>
  </si>
  <si>
    <t>Derived (current.weather_code)</t>
  </si>
  <si>
    <t>Derived (hourly.weather_code[])</t>
  </si>
  <si>
    <t>Derived (daily.weather_code[])</t>
  </si>
  <si>
    <t>sky.description</t>
  </si>
  <si>
    <t>current.weather.description</t>
  </si>
  <si>
    <t>hourly[].weather.description</t>
  </si>
  <si>
    <t>daily[].weather.description</t>
  </si>
  <si>
    <t>weather.description</t>
  </si>
  <si>
    <t>sky.icon_code</t>
  </si>
  <si>
    <t>current.weather.icon</t>
  </si>
  <si>
    <t>hourly[].weather.icon</t>
  </si>
  <si>
    <t>daily[].weather.icon</t>
  </si>
  <si>
    <t>weather.icon</t>
  </si>
  <si>
    <t>Derived (weather_code, is_day)</t>
  </si>
  <si>
    <t>Derived (weather_code[], is_day[])</t>
  </si>
  <si>
    <t>sky.icon_png_url</t>
  </si>
  <si>
    <t>Derived</t>
  </si>
  <si>
    <t>sky. cloud_cover</t>
  </si>
  <si>
    <t>current.clouds</t>
  </si>
  <si>
    <t>hourly[].clouds</t>
  </si>
  <si>
    <t>daily[].clouds</t>
  </si>
  <si>
    <t>clouds.all</t>
  </si>
  <si>
    <t>current.cloud_cover</t>
  </si>
  <si>
    <t>hourly.cloud_cover[]</t>
  </si>
  <si>
    <t>daily.cloud_cover_mean[]</t>
  </si>
  <si>
    <t>sky.visibility</t>
  </si>
  <si>
    <t>current.visibility</t>
  </si>
  <si>
    <t>hourly[].visibility</t>
  </si>
  <si>
    <t>visibility</t>
  </si>
  <si>
    <t>hourly.visibility[]</t>
  </si>
  <si>
    <t>daily.visibility_mean[]</t>
  </si>
  <si>
    <t>sky.uv_index</t>
  </si>
  <si>
    <t>daily[0].uvi</t>
  </si>
  <si>
    <t>daily[].uvi</t>
  </si>
  <si>
    <t>daily.uv_index_max[0]</t>
  </si>
  <si>
    <t>daily.uv_index_max[]</t>
  </si>
  <si>
    <t>wind.speed</t>
  </si>
  <si>
    <t>current.wind_speed</t>
  </si>
  <si>
    <t>hourly[].wind_speed</t>
  </si>
  <si>
    <t>daily[].wind_speed</t>
  </si>
  <si>
    <t>current.wind_speed_10m</t>
  </si>
  <si>
    <t>hourly.wind_speed_10m[]</t>
  </si>
  <si>
    <t>daily.wind_speed_10m_mean[]</t>
  </si>
  <si>
    <t>wind.deg</t>
  </si>
  <si>
    <t>current.wind_deg</t>
  </si>
  <si>
    <t>hourly[].wind_deg</t>
  </si>
  <si>
    <t>daily[].wind_deg</t>
  </si>
  <si>
    <t>current.wind_direction_10m</t>
  </si>
  <si>
    <t>hourly.wind_direction_10m[]</t>
  </si>
  <si>
    <t>daily.wind_direction_10m_dominant[]</t>
  </si>
  <si>
    <t>wind.gust</t>
  </si>
  <si>
    <t>current.wind_gust</t>
  </si>
  <si>
    <t>hourly[].wind_gust</t>
  </si>
  <si>
    <t>daily[].wind_gust</t>
  </si>
  <si>
    <t>current.wind_gusts_10m</t>
  </si>
  <si>
    <t>hourly.wind_gusts_10m[]</t>
  </si>
  <si>
    <t>daily.wind_gusts_10m_max[]</t>
  </si>
  <si>
    <t>wind.units</t>
  </si>
  <si>
    <t>="km/h"</t>
  </si>
  <si>
    <t>summary</t>
  </si>
  <si>
    <t>daily[0].summary</t>
  </si>
  <si>
    <t>daily[].summary</t>
  </si>
  <si>
    <t>precip_probability</t>
  </si>
  <si>
    <t>hourly[].pop</t>
  </si>
  <si>
    <t>daily[].pop</t>
  </si>
  <si>
    <t>list[0].pop</t>
  </si>
  <si>
    <t>list[].pop</t>
  </si>
  <si>
    <t>current.precipitation_probability</t>
  </si>
  <si>
    <t>hourly.precipitation_probability[]</t>
  </si>
  <si>
    <t>daily.precipitation_probability_max[]</t>
  </si>
  <si>
    <t>rain</t>
  </si>
  <si>
    <t>hourly[].rain.1hr</t>
  </si>
  <si>
    <t>list[].rain.3h</t>
  </si>
  <si>
    <t>current.rain</t>
  </si>
  <si>
    <t>hourly.rain[]</t>
  </si>
  <si>
    <t>daily.rain_sum[]</t>
  </si>
  <si>
    <t>pressure</t>
  </si>
  <si>
    <t>current.pressure</t>
  </si>
  <si>
    <t>hourly[].pressure</t>
  </si>
  <si>
    <t>daily[].pressure</t>
  </si>
  <si>
    <t>main.pressure</t>
  </si>
  <si>
    <t>current.pressure_msl</t>
  </si>
  <si>
    <t>hourly.pressure_msl[]</t>
  </si>
  <si>
    <t>daily.pressure_msl_mean[]</t>
  </si>
  <si>
    <t>humidity</t>
  </si>
  <si>
    <t>current.humidity</t>
  </si>
  <si>
    <t>hourly[].humidity</t>
  </si>
  <si>
    <t>daily[].humidity</t>
  </si>
  <si>
    <t>main.humidity</t>
  </si>
  <si>
    <t>current.relative_humidity_2m</t>
  </si>
  <si>
    <t>hourly.relative_humidity_2m[]</t>
  </si>
  <si>
    <t>daily.relative_humidity_2m_mean[]</t>
  </si>
  <si>
    <t>dew_point</t>
  </si>
  <si>
    <t>current.dew_point</t>
  </si>
  <si>
    <t>hourly[].dew_point</t>
  </si>
  <si>
    <t>daily[].dew_point</t>
  </si>
  <si>
    <t>current.dew_point_2m</t>
  </si>
  <si>
    <t>hourly.dew_point_2m[]</t>
  </si>
  <si>
    <t>daily.dew_point_2m_mean[]</t>
  </si>
  <si>
    <t>sunrise</t>
  </si>
  <si>
    <t>daily[0].sunrise</t>
  </si>
  <si>
    <t>daily[].sunrise</t>
  </si>
  <si>
    <t>sys.sunride</t>
  </si>
  <si>
    <t>Copy from current</t>
  </si>
  <si>
    <t>daily.sunrise[0]</t>
  </si>
  <si>
    <t>Lookup daily.sunrise[] by date</t>
  </si>
  <si>
    <t>daily.sunrise[]</t>
  </si>
  <si>
    <t>sunset</t>
  </si>
  <si>
    <t>daily[0].sunset</t>
  </si>
  <si>
    <t>daily[].sunset</t>
  </si>
  <si>
    <t>sys.sunset</t>
  </si>
  <si>
    <t>daily.sunset[0]</t>
  </si>
  <si>
    <t>Lookup daily.sunset[] by date</t>
  </si>
  <si>
    <t>daily.sunset[]</t>
  </si>
  <si>
    <t>WeatherStation</t>
  </si>
  <si>
    <t>source</t>
  </si>
  <si>
    <t>="OpenWeatherMap One Call API"</t>
  </si>
  <si>
    <t>latitude</t>
  </si>
  <si>
    <t>lat</t>
  </si>
  <si>
    <t>coord.lat</t>
  </si>
  <si>
    <t>longditude</t>
  </si>
  <si>
    <t>long</t>
  </si>
  <si>
    <t>coord.long</t>
  </si>
  <si>
    <t>longitude</t>
  </si>
  <si>
    <t>timezone_name</t>
  </si>
  <si>
    <t>timezone</t>
  </si>
  <si>
    <t>timezone_offset</t>
  </si>
  <si>
    <t>utc_offset_seconds</t>
  </si>
  <si>
    <t>NOTES</t>
  </si>
  <si>
    <t>All OWM times are UTC UNIX epoc times</t>
  </si>
  <si>
    <t>Open-Meteo note: with timezone=auto, time values are local; derive utc_time using utc_offset_seconds.</t>
  </si>
  <si>
    <t>OWM SkyCondition icons can be downloaded via:</t>
  </si>
  <si>
    <t>https://openweathermap.org/payload/api/media/file/&lt;icon_code&gt;.png</t>
  </si>
  <si>
    <t>for example:</t>
  </si>
  <si>
    <t>https://openweathermap.org/payload/api/media/file/01d.png</t>
  </si>
  <si>
    <t xml:space="preserve"> The table below shows the mapping from the WeatherReading and WeatherStation dataclasses to the provider API fields.</t>
  </si>
  <si>
    <t>WeatherClient Providers</t>
  </si>
  <si>
    <t>The sc_utility WeatherClient supports the OpenWeatherMap and Open Meteo API services:</t>
  </si>
  <si>
    <t>See the Field Mapping tab for more details</t>
  </si>
  <si>
    <t>daily[0].rain.all</t>
  </si>
  <si>
    <t>daily[].rain.all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</si>
</sst>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2"/>
      <color theme="1"/>
      <name val="Aptos Narrow"/>
      <scheme val="minor"/>
    </font>
    <font>
      <i/>
      <sz val="12"/>
      <color theme="1"/>
      <name val="Aptos Narrow"/>
      <scheme val="minor"/>
    </font>
    <font>
      <i/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18">
    <xf numFmtId="0" fontId="0" fillId="0" borderId="0" xfId="0"/>
    <xf numFmtId="0" fontId="1" fillId="0" borderId="0" xfId="1"/>
    <xf numFmtId="0" fontId="3" fillId="0" borderId="0" xfId="2"/>
    <xf numFmtId="0" fontId="4" fillId="2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quotePrefix="1" applyFont="1" applyAlignment="1">
      <alignment vertical="center"/>
    </xf>
    <xf numFmtId="0" fontId="6" fillId="0" borderId="0" xfId="0" applyFont="1" applyAlignment="1">
      <alignment vertical="center"/>
    </xf>
    <xf numFmtId="0" fontId="0" fillId="0" borderId="0" xfId="0" quotePrefix="1" applyAlignment="1">
      <alignment vertical="center"/>
    </xf>
    <xf numFmtId="0" fontId="2" fillId="2" borderId="0" xfId="0" applyFont="1" applyFill="1" applyAlignment="1">
      <alignment vertical="center"/>
    </xf>
    <xf numFmtId="0" fontId="0" fillId="0" borderId="0" xfId="0" quotePrefix="1" applyAlignment="1">
      <alignment vertical="center" wrapText="1"/>
    </xf>
    <xf numFmtId="0" fontId="0" fillId="0" borderId="0" xfId="0" applyAlignment="1">
      <alignment vertical="center" wrapText="1"/>
    </xf>
    <xf numFmtId="0" fontId="0" fillId="3" borderId="0" xfId="0" applyFill="1"/>
    <xf numFmtId="0" fontId="4" fillId="0" borderId="0" xfId="0" applyFont="1"/>
    <xf numFmtId="0" fontId="3" fillId="0" borderId="0" xfId="2" applyAlignment="1">
      <alignment vertical="center" wrapText="1"/>
    </xf>
    <xf numFmtId="0" fontId="0" fillId="0" borderId="0" xfId="0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0" fillId="0" borderId="0" xfId="0" applyAlignment="1">
      <alignment horizontal="left" vertical="center"/>
    </xf>
  </cellXfs>
  <cellStyles count="3">
    <cellStyle name="Hyperlink" xfId="2" builtinId="8"/>
    <cellStyle name="Normal" xfId="0" builtinId="0"/>
    <cellStyle name="Title" xfId="1" builtinId="15"/>
  </cellStyles>
  <dxfs count="17">
    <dxf>
      <alignment horizontal="general" vertical="center"/>
    </dxf>
    <dxf>
      <alignment horizontal="general" vertical="center"/>
    </dxf>
    <dxf>
      <alignment horizontal="general" vertical="center"/>
    </dxf>
    <dxf>
      <alignment horizontal="general" vertical="center"/>
    </dxf>
    <dxf>
      <alignment horizontal="general" vertical="center"/>
    </dxf>
    <dxf>
      <alignment horizontal="general" vertical="center"/>
    </dxf>
    <dxf>
      <alignment horizontal="general" vertical="center"/>
    </dxf>
    <dxf>
      <alignment horizontal="general" vertical="center"/>
    </dxf>
    <dxf>
      <alignment horizontal="general" vertical="center"/>
    </dxf>
    <dxf>
      <alignment horizontal="general" vertical="center"/>
    </dxf>
    <dxf>
      <alignment horizontal="general" vertical="center" wrapText="1"/>
    </dxf>
    <dxf>
      <alignment horizontal="general" vertical="center" wrapText="1"/>
    </dxf>
    <dxf>
      <alignment horizontal="general" vertical="center"/>
    </dxf>
    <dxf>
      <alignment horizontal="general" vertical="center"/>
    </dxf>
    <dxf>
      <alignment horizontal="general" vertical="center"/>
    </dxf>
    <dxf>
      <alignment horizontal="general" vertical="center"/>
    </dxf>
    <dxf>
      <alignment horizontal="general"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5:F13" totalsRowShown="0" dataDxfId="16">
  <autoFilter ref="A5:F13" xr:uid="{00000000-0009-0000-0100-000002000000}"/>
  <tableColumns count="6">
    <tableColumn id="1" xr3:uid="{00000000-0010-0000-0100-000001000000}" name="Provider" dataDxfId="15"/>
    <tableColumn id="5" xr3:uid="{00000000-0010-0000-0100-000005000000}" name="Service" dataDxfId="14"/>
    <tableColumn id="2" xr3:uid="{00000000-0010-0000-0100-000002000000}" name="Type" dataDxfId="13"/>
    <tableColumn id="3" xr3:uid="{00000000-0010-0000-0100-000003000000}" name="Intervals" dataDxfId="12"/>
    <tableColumn id="4" xr3:uid="{00000000-0010-0000-0100-000004000000}" name="API Documentation" dataDxfId="11"/>
    <tableColumn id="6" xr3:uid="{00000000-0010-0000-0100-000006000000}" name="Sample API Call" dataDxfId="10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4:I39" totalsRowShown="0" dataDxfId="9">
  <autoFilter ref="A4:I39" xr:uid="{00000000-0009-0000-0100-000001000000}"/>
  <tableColumns count="9">
    <tableColumn id="1" xr3:uid="{00000000-0010-0000-0000-000001000000}" name="WeatherClient Field" dataDxfId="8"/>
    <tableColumn id="2" xr3:uid="{00000000-0010-0000-0000-000002000000}" name="OWM v3: Current" dataDxfId="7"/>
    <tableColumn id="3" xr3:uid="{00000000-0010-0000-0000-000003000000}" name="OWM v3: Hourly" dataDxfId="6"/>
    <tableColumn id="4" xr3:uid="{00000000-0010-0000-0000-000004000000}" name="OWM v3: Daily" dataDxfId="5"/>
    <tableColumn id="5" xr3:uid="{00000000-0010-0000-0000-000005000000}" name="OWM v2.5: Current" dataDxfId="4"/>
    <tableColumn id="6" xr3:uid="{00000000-0010-0000-0000-000006000000}" name="OWM v2.5: Hourly" dataDxfId="3"/>
    <tableColumn id="7" xr3:uid="{00000000-0010-0000-0000-000007000000}" name="OpenMeteo Current" dataDxfId="2"/>
    <tableColumn id="8" xr3:uid="{00000000-0010-0000-0000-000008000000}" name="OpenMeteo Hourly" dataDxfId="1"/>
    <tableColumn id="9" xr3:uid="{00000000-0010-0000-0000-000009000000}" name="OpenMeteo Daily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openweathermap.org/api/one-call-3" TargetMode="External"/><Relationship Id="rId13" Type="http://schemas.openxmlformats.org/officeDocument/2006/relationships/hyperlink" Target="https://open-meteo.com/en/docs" TargetMode="External"/><Relationship Id="rId3" Type="http://schemas.openxmlformats.org/officeDocument/2006/relationships/hyperlink" Target="https://openweathermap.org/forecast5?collection=current_forecast" TargetMode="External"/><Relationship Id="rId7" Type="http://schemas.openxmlformats.org/officeDocument/2006/relationships/hyperlink" Target="https://openweathermap.org/api/one-call-3" TargetMode="External"/><Relationship Id="rId12" Type="http://schemas.openxmlformats.org/officeDocument/2006/relationships/hyperlink" Target="https://api.open-meteo.com/v1/forecast?latitude=-33.0&amp;longitude=151.0&amp;timezone=auto&amp;hourly=temperature_2m,apparent_temperature,relative_humidity_2m,dew_point_2m,precipitation_probability,rain,weather_code,cloud_cover,pressure_msl,wind_speed_10m,wind_direction_10m,wind_gusts_10m,visibility,is_day&amp;daily=sunrise,sunset" TargetMode="External"/><Relationship Id="rId2" Type="http://schemas.openxmlformats.org/officeDocument/2006/relationships/hyperlink" Target="https://api.openweathermap.org/data/2.5/weather?lat=-33.0&amp;lon=151.0&amp;appid=API_KEY" TargetMode="External"/><Relationship Id="rId1" Type="http://schemas.openxmlformats.org/officeDocument/2006/relationships/hyperlink" Target="https://openweathermap.org/current?collection=current_forecast" TargetMode="External"/><Relationship Id="rId6" Type="http://schemas.openxmlformats.org/officeDocument/2006/relationships/hyperlink" Target="https://api.openweathermap.org/data/3.0/onecall?lat=-33.0&amp;lon=151.0&amp;units=metric&amp;exclude=&amp;minutely,alerts&amp;appid=API_KEY" TargetMode="External"/><Relationship Id="rId11" Type="http://schemas.openxmlformats.org/officeDocument/2006/relationships/hyperlink" Target="https://open-meteo.com/en/docs" TargetMode="External"/><Relationship Id="rId5" Type="http://schemas.openxmlformats.org/officeDocument/2006/relationships/hyperlink" Target="https://openweathermap.org/api/one-call-3" TargetMode="External"/><Relationship Id="rId15" Type="http://schemas.openxmlformats.org/officeDocument/2006/relationships/table" Target="../tables/table1.xml"/><Relationship Id="rId10" Type="http://schemas.openxmlformats.org/officeDocument/2006/relationships/hyperlink" Target="https://api.open-meteo.com/v1/forecast?latitude=-33.0&amp;longitude=151.0&amp;timezone=auto&amp;current=temperature_2m,apparent_temperature,relative_humidity_2m,dew_point_2m,precipitation_probability,rain,weather_code,cloud_cover,pressure_msl,wind_speed_10m,wind_direction_10m,wind_gusts_10m,visibility,is_day&amp;daily=temperature_2m_max,temperature_2m_min,uv_index_max,sunrise,sunset" TargetMode="External"/><Relationship Id="rId4" Type="http://schemas.openxmlformats.org/officeDocument/2006/relationships/hyperlink" Target="https://api.openweathermap.org/data/2.5/forecast?lat=-33.0&amp;lon=151.0&amp;appid=API_KEY" TargetMode="External"/><Relationship Id="rId9" Type="http://schemas.openxmlformats.org/officeDocument/2006/relationships/hyperlink" Target="https://open-meteo.com/en/docs" TargetMode="External"/><Relationship Id="rId14" Type="http://schemas.openxmlformats.org/officeDocument/2006/relationships/hyperlink" Target="https://api.open-meteo.com/v1/forecast?latitude=-33.0&amp;longitude=151.0&amp;timezone=auto&amp;forecast_days=16&amp;daily=weather_code,temperature_2m_mean,temperature_2m_max,temperature_2m_min,apparent_temperature_mean,cloud_cover_mean,visibility_mean,uv_index_max,rain_sum,precipitation_probability_max,pressure_msl_mean,relative_humidity_2m_mean,dew_point_2m_mean,wind_speed_10m_mean,wind_direction_10m_dominant,wind_gusts_10m_max,sunrise,sunset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hyperlink" Target="https://openweathermap.org/payload/api/media/file/01d.png" TargetMode="External"/><Relationship Id="rId1" Type="http://schemas.openxmlformats.org/officeDocument/2006/relationships/hyperlink" Target="https://openweathermap.org/payload/api/media/file/%3cicon_code%3e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5"/>
  <sheetViews>
    <sheetView showGridLines="0" workbookViewId="0">
      <selection activeCell="E8" sqref="E8"/>
    </sheetView>
  </sheetViews>
  <sheetFormatPr baseColWidth="10" defaultRowHeight="16" x14ac:dyDescent="0.2"/>
  <cols>
    <col min="1" max="1" width="23.83203125" customWidth="1"/>
    <col min="2" max="4" width="26.33203125" customWidth="1"/>
    <col min="5" max="5" width="49.1640625" customWidth="1"/>
    <col min="6" max="6" width="162.83203125" customWidth="1"/>
    <col min="7" max="7" width="23" bestFit="1" customWidth="1"/>
    <col min="8" max="9" width="24" bestFit="1" customWidth="1"/>
  </cols>
  <sheetData>
    <row r="1" spans="1:6" ht="24" customHeight="1" x14ac:dyDescent="0.3">
      <c r="A1" s="1" t="s">
        <v>228</v>
      </c>
    </row>
    <row r="3" spans="1:6" x14ac:dyDescent="0.2">
      <c r="A3" t="s">
        <v>229</v>
      </c>
    </row>
    <row r="5" spans="1:6" x14ac:dyDescent="0.2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</row>
    <row r="6" spans="1:6" s="4" customFormat="1" ht="34" x14ac:dyDescent="0.2">
      <c r="A6" s="4" t="s">
        <v>7</v>
      </c>
      <c r="B6" s="4" t="s">
        <v>8</v>
      </c>
      <c r="C6" s="4" t="s">
        <v>9</v>
      </c>
      <c r="D6" s="4" t="s">
        <v>10</v>
      </c>
      <c r="E6" s="14" t="s">
        <v>11</v>
      </c>
      <c r="F6" s="14" t="s">
        <v>12</v>
      </c>
    </row>
    <row r="7" spans="1:6" s="4" customFormat="1" ht="34" x14ac:dyDescent="0.2">
      <c r="A7" s="4" t="s">
        <v>7</v>
      </c>
      <c r="B7" s="4" t="s">
        <v>8</v>
      </c>
      <c r="C7" s="4" t="s">
        <v>13</v>
      </c>
      <c r="D7" s="4" t="s">
        <v>14</v>
      </c>
      <c r="E7" s="14" t="s">
        <v>15</v>
      </c>
      <c r="F7" s="14" t="s">
        <v>16</v>
      </c>
    </row>
    <row r="8" spans="1:6" s="4" customFormat="1" ht="17" x14ac:dyDescent="0.2">
      <c r="A8" s="4" t="s">
        <v>7</v>
      </c>
      <c r="B8" s="4" t="s">
        <v>17</v>
      </c>
      <c r="C8" s="4" t="s">
        <v>9</v>
      </c>
      <c r="D8" s="4" t="s">
        <v>10</v>
      </c>
      <c r="E8" s="14" t="s">
        <v>18</v>
      </c>
      <c r="F8" s="2" t="s">
        <v>19</v>
      </c>
    </row>
    <row r="9" spans="1:6" s="4" customFormat="1" ht="17" x14ac:dyDescent="0.2">
      <c r="A9" s="4" t="s">
        <v>7</v>
      </c>
      <c r="B9" s="4" t="s">
        <v>17</v>
      </c>
      <c r="C9" s="4" t="s">
        <v>13</v>
      </c>
      <c r="D9" s="4" t="s">
        <v>20</v>
      </c>
      <c r="E9" s="14" t="s">
        <v>18</v>
      </c>
      <c r="F9" s="10" t="s">
        <v>21</v>
      </c>
    </row>
    <row r="10" spans="1:6" s="4" customFormat="1" ht="17" x14ac:dyDescent="0.2">
      <c r="A10" s="4" t="s">
        <v>7</v>
      </c>
      <c r="B10" s="4" t="s">
        <v>17</v>
      </c>
      <c r="C10" s="4" t="s">
        <v>22</v>
      </c>
      <c r="D10" s="4" t="s">
        <v>23</v>
      </c>
      <c r="E10" s="14" t="s">
        <v>18</v>
      </c>
      <c r="F10" s="10" t="s">
        <v>21</v>
      </c>
    </row>
    <row r="11" spans="1:6" s="4" customFormat="1" ht="51" x14ac:dyDescent="0.2">
      <c r="A11" s="4" t="s">
        <v>24</v>
      </c>
      <c r="B11" s="4" t="s">
        <v>25</v>
      </c>
      <c r="C11" s="4" t="s">
        <v>26</v>
      </c>
      <c r="D11" s="4" t="s">
        <v>10</v>
      </c>
      <c r="E11" s="14" t="s">
        <v>27</v>
      </c>
      <c r="F11" s="14" t="s">
        <v>28</v>
      </c>
    </row>
    <row r="12" spans="1:6" s="4" customFormat="1" ht="51" x14ac:dyDescent="0.2">
      <c r="A12" s="4" t="s">
        <v>24</v>
      </c>
      <c r="B12" s="4" t="s">
        <v>25</v>
      </c>
      <c r="C12" s="4" t="s">
        <v>13</v>
      </c>
      <c r="D12" s="4" t="s">
        <v>29</v>
      </c>
      <c r="E12" s="14" t="s">
        <v>27</v>
      </c>
      <c r="F12" s="14" t="s">
        <v>30</v>
      </c>
    </row>
    <row r="13" spans="1:6" s="4" customFormat="1" ht="68" x14ac:dyDescent="0.2">
      <c r="A13" s="4" t="s">
        <v>24</v>
      </c>
      <c r="B13" s="4" t="s">
        <v>25</v>
      </c>
      <c r="C13" s="4" t="s">
        <v>22</v>
      </c>
      <c r="D13" s="4" t="s">
        <v>31</v>
      </c>
      <c r="E13" s="14" t="s">
        <v>27</v>
      </c>
      <c r="F13" s="14" t="s">
        <v>32</v>
      </c>
    </row>
    <row r="15" spans="1:6" x14ac:dyDescent="0.2">
      <c r="A15" t="s">
        <v>230</v>
      </c>
    </row>
    <row r="17" s="4" customFormat="1" x14ac:dyDescent="0.2"/>
    <row r="18" s="4" customFormat="1" ht="32" customHeight="1" x14ac:dyDescent="0.2"/>
    <row r="19" s="4" customFormat="1" ht="32" customHeight="1" x14ac:dyDescent="0.2"/>
    <row r="20" s="4" customFormat="1" ht="32" customHeight="1" x14ac:dyDescent="0.2"/>
    <row r="21" s="4" customFormat="1" ht="32" customHeight="1" x14ac:dyDescent="0.2"/>
    <row r="22" s="4" customFormat="1" ht="32" customHeight="1" x14ac:dyDescent="0.2"/>
    <row r="23" s="4" customFormat="1" ht="32" customHeight="1" x14ac:dyDescent="0.2"/>
    <row r="24" s="4" customFormat="1" ht="32" customHeight="1" x14ac:dyDescent="0.2"/>
    <row r="25" s="4" customFormat="1" ht="32" customHeight="1" x14ac:dyDescent="0.2"/>
    <row r="26" s="4" customFormat="1" ht="32" customHeight="1" x14ac:dyDescent="0.2"/>
    <row r="27" s="4" customFormat="1" ht="32" customHeight="1" x14ac:dyDescent="0.2"/>
    <row r="28" s="4" customFormat="1" ht="32" customHeight="1" x14ac:dyDescent="0.2"/>
    <row r="29" s="4" customFormat="1" ht="32" customHeight="1" x14ac:dyDescent="0.2"/>
    <row r="30" s="4" customFormat="1" ht="32" customHeight="1" x14ac:dyDescent="0.2"/>
    <row r="31" s="4" customFormat="1" ht="32" customHeight="1" x14ac:dyDescent="0.2"/>
    <row r="32" s="4" customFormat="1" ht="32" customHeight="1" x14ac:dyDescent="0.2"/>
    <row r="33" s="4" customFormat="1" ht="32" customHeight="1" x14ac:dyDescent="0.2"/>
    <row r="34" s="4" customFormat="1" ht="32" customHeight="1" x14ac:dyDescent="0.2"/>
    <row r="35" s="4" customFormat="1" ht="32" customHeight="1" x14ac:dyDescent="0.2"/>
    <row r="36" s="4" customFormat="1" ht="32" customHeight="1" x14ac:dyDescent="0.2"/>
    <row r="37" s="4" customFormat="1" ht="32" customHeight="1" x14ac:dyDescent="0.2"/>
    <row r="38" s="4" customFormat="1" ht="32" customHeight="1" x14ac:dyDescent="0.2"/>
    <row r="39" s="4" customFormat="1" ht="32" customHeight="1" x14ac:dyDescent="0.2"/>
    <row r="40" s="4" customFormat="1" ht="32" customHeight="1" x14ac:dyDescent="0.2"/>
    <row r="41" s="4" customFormat="1" ht="32" customHeight="1" x14ac:dyDescent="0.2"/>
    <row r="42" s="4" customFormat="1" ht="32" customHeight="1" x14ac:dyDescent="0.2"/>
    <row r="43" s="4" customFormat="1" ht="32" customHeight="1" x14ac:dyDescent="0.2"/>
    <row r="44" s="4" customFormat="1" ht="32" customHeight="1" x14ac:dyDescent="0.2"/>
    <row r="45" s="4" customFormat="1" ht="32" customHeight="1" x14ac:dyDescent="0.2"/>
    <row r="46" s="4" customFormat="1" ht="32" customHeight="1" x14ac:dyDescent="0.2"/>
    <row r="47" s="4" customFormat="1" ht="32" customHeight="1" x14ac:dyDescent="0.2"/>
    <row r="48" s="4" customFormat="1" ht="32" customHeight="1" x14ac:dyDescent="0.2"/>
    <row r="49" s="4" customFormat="1" ht="32" customHeight="1" x14ac:dyDescent="0.2"/>
    <row r="50" s="4" customFormat="1" ht="32" customHeight="1" x14ac:dyDescent="0.2"/>
    <row r="51" s="4" customFormat="1" x14ac:dyDescent="0.2"/>
    <row r="55" ht="22" customHeight="1" x14ac:dyDescent="0.2"/>
  </sheetData>
  <hyperlinks>
    <hyperlink ref="E6" r:id="rId1" xr:uid="{00000000-0004-0000-0000-000000000000}"/>
    <hyperlink ref="F6" r:id="rId2" xr:uid="{00000000-0004-0000-0000-000001000000}"/>
    <hyperlink ref="E7" r:id="rId3" xr:uid="{00000000-0004-0000-0000-000002000000}"/>
    <hyperlink ref="F7" r:id="rId4" xr:uid="{00000000-0004-0000-0000-000003000000}"/>
    <hyperlink ref="E8" r:id="rId5" xr:uid="{00000000-0004-0000-0000-000004000000}"/>
    <hyperlink ref="F8" r:id="rId6" xr:uid="{00000000-0004-0000-0000-000005000000}"/>
    <hyperlink ref="E9" r:id="rId7" xr:uid="{00000000-0004-0000-0000-000006000000}"/>
    <hyperlink ref="E10" r:id="rId8" xr:uid="{00000000-0004-0000-0000-000007000000}"/>
    <hyperlink ref="E11" r:id="rId9" xr:uid="{00000000-0004-0000-0000-000008000000}"/>
    <hyperlink ref="F11" r:id="rId10" xr:uid="{00000000-0004-0000-0000-000009000000}"/>
    <hyperlink ref="E12" r:id="rId11" xr:uid="{00000000-0004-0000-0000-00000A000000}"/>
    <hyperlink ref="F12" r:id="rId12" xr:uid="{00000000-0004-0000-0000-00000B000000}"/>
    <hyperlink ref="E13" r:id="rId13" xr:uid="{00000000-0004-0000-0000-00000C000000}"/>
    <hyperlink ref="F13" r:id="rId14" xr:uid="{00000000-0004-0000-0000-00000D000000}"/>
  </hyperlinks>
  <pageMargins left="0.7" right="0.7" top="0.75" bottom="0.75" header="0.3" footer="0.3"/>
  <tableParts count="1">
    <tablePart r:id="rId1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CF272-9001-A941-8EC4-EA8327BB0F6F}">
  <dimension ref="A1:I47"/>
  <sheetViews>
    <sheetView showGridLines="0" tabSelected="1" workbookViewId="0">
      <selection activeCell="H56" sqref="H56"/>
    </sheetView>
  </sheetViews>
  <sheetFormatPr baseColWidth="10" defaultRowHeight="16" x14ac:dyDescent="0.2"/>
  <cols>
    <col min="1" max="1" width="21.1640625" customWidth="1"/>
    <col min="2" max="3" width="24.33203125" bestFit="1" customWidth="1"/>
    <col min="4" max="4" width="23.1640625" bestFit="1" customWidth="1"/>
    <col min="5" max="5" width="19.1640625" bestFit="1" customWidth="1"/>
    <col min="6" max="6" width="21.83203125" bestFit="1" customWidth="1"/>
    <col min="7" max="7" width="28.1640625" bestFit="1" customWidth="1"/>
    <col min="8" max="8" width="29" bestFit="1" customWidth="1"/>
    <col min="9" max="9" width="32" bestFit="1" customWidth="1"/>
  </cols>
  <sheetData>
    <row r="1" spans="1:9" ht="24" x14ac:dyDescent="0.3">
      <c r="A1" s="1" t="s">
        <v>0</v>
      </c>
    </row>
    <row r="2" spans="1:9" x14ac:dyDescent="0.2">
      <c r="A2" t="s">
        <v>227</v>
      </c>
    </row>
    <row r="3" spans="1:9" x14ac:dyDescent="0.2">
      <c r="B3" s="12" t="s">
        <v>33</v>
      </c>
      <c r="C3" s="12"/>
      <c r="D3" s="12"/>
      <c r="E3" s="12"/>
      <c r="F3" s="12"/>
      <c r="G3" s="12"/>
      <c r="H3" s="12"/>
      <c r="I3" s="12"/>
    </row>
    <row r="4" spans="1:9" x14ac:dyDescent="0.2">
      <c r="A4" t="s">
        <v>34</v>
      </c>
      <c r="B4" t="s">
        <v>35</v>
      </c>
      <c r="C4" t="s">
        <v>36</v>
      </c>
      <c r="D4" t="s">
        <v>37</v>
      </c>
      <c r="E4" t="s">
        <v>38</v>
      </c>
      <c r="F4" t="s">
        <v>39</v>
      </c>
      <c r="G4" t="s">
        <v>40</v>
      </c>
      <c r="H4" t="s">
        <v>41</v>
      </c>
      <c r="I4" t="s">
        <v>42</v>
      </c>
    </row>
    <row r="5" spans="1:9" x14ac:dyDescent="0.2">
      <c r="A5" s="3" t="s">
        <v>43</v>
      </c>
      <c r="B5" s="3"/>
      <c r="C5" s="3"/>
      <c r="D5" s="3"/>
      <c r="E5" s="3"/>
      <c r="F5" s="3"/>
      <c r="G5" s="3"/>
      <c r="H5" s="3"/>
      <c r="I5" s="3"/>
    </row>
    <row r="6" spans="1:9" x14ac:dyDescent="0.2">
      <c r="A6" s="4" t="s">
        <v>44</v>
      </c>
      <c r="B6" s="4" t="s">
        <v>45</v>
      </c>
      <c r="C6" s="4" t="s">
        <v>46</v>
      </c>
      <c r="D6" s="4" t="s">
        <v>47</v>
      </c>
      <c r="E6" s="4" t="s">
        <v>45</v>
      </c>
      <c r="F6" s="4" t="s">
        <v>48</v>
      </c>
      <c r="G6" s="17" t="s">
        <v>49</v>
      </c>
      <c r="H6" s="17" t="s">
        <v>50</v>
      </c>
      <c r="I6" s="17" t="s">
        <v>51</v>
      </c>
    </row>
    <row r="7" spans="1:9" x14ac:dyDescent="0.2">
      <c r="A7" s="4" t="s">
        <v>52</v>
      </c>
      <c r="B7" s="4" t="s">
        <v>45</v>
      </c>
      <c r="C7" s="4" t="s">
        <v>46</v>
      </c>
      <c r="D7" s="4" t="s">
        <v>47</v>
      </c>
      <c r="E7" s="4" t="s">
        <v>45</v>
      </c>
      <c r="F7" s="4" t="s">
        <v>48</v>
      </c>
      <c r="G7" s="17" t="s">
        <v>53</v>
      </c>
      <c r="H7" s="17" t="s">
        <v>54</v>
      </c>
      <c r="I7" s="17" t="s">
        <v>55</v>
      </c>
    </row>
    <row r="8" spans="1:9" x14ac:dyDescent="0.2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tr">
        <f>"list[]." &amp; Table1[[#This Row],[OWM v2.5: Current]]</f>
        <v>list[].main.temp</v>
      </c>
      <c r="G8" s="17" t="s">
        <v>61</v>
      </c>
      <c r="H8" s="17" t="s">
        <v>62</v>
      </c>
      <c r="I8" s="17" t="s">
        <v>63</v>
      </c>
    </row>
    <row r="9" spans="1:9" x14ac:dyDescent="0.2">
      <c r="A9" s="4" t="s">
        <v>64</v>
      </c>
      <c r="B9" s="4" t="s">
        <v>65</v>
      </c>
      <c r="C9" s="5" t="s">
        <v>66</v>
      </c>
      <c r="D9" s="4" t="s">
        <v>67</v>
      </c>
      <c r="E9" s="4" t="s">
        <v>68</v>
      </c>
      <c r="F9" s="4" t="str">
        <f>"list[]." &amp; Table1[[#This Row],[OWM v2.5: Current]]</f>
        <v>list[].main.temp_max</v>
      </c>
      <c r="G9" s="17" t="s">
        <v>69</v>
      </c>
      <c r="H9" s="17" t="s">
        <v>66</v>
      </c>
      <c r="I9" s="17" t="s">
        <v>70</v>
      </c>
    </row>
    <row r="10" spans="1:9" x14ac:dyDescent="0.2">
      <c r="A10" s="4" t="s">
        <v>71</v>
      </c>
      <c r="B10" s="4" t="s">
        <v>72</v>
      </c>
      <c r="C10" s="5" t="s">
        <v>66</v>
      </c>
      <c r="D10" s="4" t="s">
        <v>73</v>
      </c>
      <c r="E10" s="4" t="s">
        <v>74</v>
      </c>
      <c r="F10" s="4" t="str">
        <f>"list[]." &amp; Table1[[#This Row],[OWM v2.5: Current]]</f>
        <v>list[].main.temp_min</v>
      </c>
      <c r="G10" s="17" t="s">
        <v>75</v>
      </c>
      <c r="H10" s="17" t="s">
        <v>66</v>
      </c>
      <c r="I10" s="17" t="s">
        <v>76</v>
      </c>
    </row>
    <row r="11" spans="1:9" x14ac:dyDescent="0.2">
      <c r="A11" s="4" t="s">
        <v>77</v>
      </c>
      <c r="B11" s="4" t="s">
        <v>78</v>
      </c>
      <c r="C11" s="4" t="s">
        <v>79</v>
      </c>
      <c r="D11" s="4" t="s">
        <v>80</v>
      </c>
      <c r="E11" s="4" t="s">
        <v>81</v>
      </c>
      <c r="F11" s="4" t="str">
        <f>"list[]." &amp; Table1[[#This Row],[OWM v2.5: Current]]</f>
        <v>list[].main.feels_like</v>
      </c>
      <c r="G11" s="17" t="s">
        <v>82</v>
      </c>
      <c r="H11" s="17" t="s">
        <v>83</v>
      </c>
      <c r="I11" s="17" t="s">
        <v>84</v>
      </c>
    </row>
    <row r="12" spans="1:9" x14ac:dyDescent="0.2">
      <c r="A12" s="4" t="s">
        <v>85</v>
      </c>
      <c r="B12" s="6" t="s">
        <v>86</v>
      </c>
      <c r="C12" s="6" t="str">
        <f>Table1[[#This Row],[OWM v3: Current]]</f>
        <v>="C"</v>
      </c>
      <c r="D12" s="6" t="str">
        <f>Table1[[#This Row],[OWM v3: Current]]</f>
        <v>="C"</v>
      </c>
      <c r="E12" s="6" t="str">
        <f>Table1[[#This Row],[OWM v3: Current]]</f>
        <v>="C"</v>
      </c>
      <c r="F12" s="4" t="str">
        <f>Table1[[#This Row],[OWM v3: Current]]</f>
        <v>="C"</v>
      </c>
      <c r="G12" s="17" t="str">
        <f>"C"</f>
        <v>C</v>
      </c>
      <c r="H12" s="17" t="str">
        <f>"C"</f>
        <v>C</v>
      </c>
      <c r="I12" s="17" t="str">
        <f>"C"</f>
        <v>C</v>
      </c>
    </row>
    <row r="13" spans="1:9" x14ac:dyDescent="0.2">
      <c r="A13" s="4" t="s">
        <v>87</v>
      </c>
      <c r="B13" s="4" t="s">
        <v>88</v>
      </c>
      <c r="C13" s="4" t="s">
        <v>89</v>
      </c>
      <c r="D13" s="4" t="s">
        <v>90</v>
      </c>
      <c r="E13" s="4" t="s">
        <v>91</v>
      </c>
      <c r="F13" s="4" t="str">
        <f>"list[]." &amp; Table1[[#This Row],[OWM v2.5: Current]]</f>
        <v>list[].weather.main</v>
      </c>
      <c r="G13" s="17" t="s">
        <v>92</v>
      </c>
      <c r="H13" s="17" t="s">
        <v>93</v>
      </c>
      <c r="I13" s="17" t="s">
        <v>94</v>
      </c>
    </row>
    <row r="14" spans="1:9" x14ac:dyDescent="0.2">
      <c r="A14" s="4" t="s">
        <v>95</v>
      </c>
      <c r="B14" s="4" t="s">
        <v>96</v>
      </c>
      <c r="C14" s="4" t="s">
        <v>97</v>
      </c>
      <c r="D14" s="4" t="s">
        <v>98</v>
      </c>
      <c r="E14" s="4" t="s">
        <v>99</v>
      </c>
      <c r="F14" s="4" t="str">
        <f>"list[]." &amp; Table1[[#This Row],[OWM v2.5: Current]]</f>
        <v>list[].weather.description</v>
      </c>
      <c r="G14" s="17" t="s">
        <v>92</v>
      </c>
      <c r="H14" s="17" t="s">
        <v>93</v>
      </c>
      <c r="I14" s="17" t="s">
        <v>94</v>
      </c>
    </row>
    <row r="15" spans="1:9" x14ac:dyDescent="0.2">
      <c r="A15" s="4" t="s">
        <v>100</v>
      </c>
      <c r="B15" s="4" t="s">
        <v>101</v>
      </c>
      <c r="C15" s="4" t="s">
        <v>102</v>
      </c>
      <c r="D15" s="4" t="s">
        <v>103</v>
      </c>
      <c r="E15" s="4" t="s">
        <v>104</v>
      </c>
      <c r="F15" s="4" t="str">
        <f>"list[]." &amp; Table1[[#This Row],[OWM v2.5: Current]]</f>
        <v>list[].weather.icon</v>
      </c>
      <c r="G15" s="17" t="s">
        <v>105</v>
      </c>
      <c r="H15" s="17" t="s">
        <v>106</v>
      </c>
      <c r="I15" s="17" t="s">
        <v>94</v>
      </c>
    </row>
    <row r="16" spans="1:9" x14ac:dyDescent="0.2">
      <c r="A16" s="4" t="s">
        <v>107</v>
      </c>
      <c r="B16" s="7" t="s">
        <v>108</v>
      </c>
      <c r="C16" s="7" t="s">
        <v>108</v>
      </c>
      <c r="D16" s="7" t="s">
        <v>108</v>
      </c>
      <c r="E16" s="7" t="s">
        <v>108</v>
      </c>
      <c r="F16" s="7" t="s">
        <v>108</v>
      </c>
      <c r="G16" s="17" t="s">
        <v>108</v>
      </c>
      <c r="H16" s="17" t="s">
        <v>108</v>
      </c>
      <c r="I16" s="17" t="s">
        <v>108</v>
      </c>
    </row>
    <row r="17" spans="1:9" x14ac:dyDescent="0.2">
      <c r="A17" s="4" t="s">
        <v>109</v>
      </c>
      <c r="B17" s="4" t="s">
        <v>110</v>
      </c>
      <c r="C17" s="4" t="s">
        <v>111</v>
      </c>
      <c r="D17" s="4" t="s">
        <v>112</v>
      </c>
      <c r="E17" s="4" t="s">
        <v>113</v>
      </c>
      <c r="F17" s="4" t="str">
        <f>"list[]." &amp; Table1[[#This Row],[OWM v2.5: Current]]</f>
        <v>list[].clouds.all</v>
      </c>
      <c r="G17" s="17" t="s">
        <v>114</v>
      </c>
      <c r="H17" s="17" t="s">
        <v>115</v>
      </c>
      <c r="I17" s="17" t="s">
        <v>116</v>
      </c>
    </row>
    <row r="18" spans="1:9" x14ac:dyDescent="0.2">
      <c r="A18" s="4" t="s">
        <v>117</v>
      </c>
      <c r="B18" s="4" t="s">
        <v>118</v>
      </c>
      <c r="C18" s="4" t="s">
        <v>119</v>
      </c>
      <c r="D18" s="5" t="s">
        <v>66</v>
      </c>
      <c r="E18" s="4" t="s">
        <v>120</v>
      </c>
      <c r="F18" s="4" t="str">
        <f>"list[]." &amp; Table1[[#This Row],[OWM v2.5: Current]]</f>
        <v>list[].visibility</v>
      </c>
      <c r="G18" s="17" t="s">
        <v>118</v>
      </c>
      <c r="H18" s="17" t="s">
        <v>121</v>
      </c>
      <c r="I18" s="17" t="s">
        <v>122</v>
      </c>
    </row>
    <row r="19" spans="1:9" x14ac:dyDescent="0.2">
      <c r="A19" s="4" t="s">
        <v>123</v>
      </c>
      <c r="B19" s="4" t="s">
        <v>124</v>
      </c>
      <c r="C19" s="4" t="s">
        <v>124</v>
      </c>
      <c r="D19" s="4" t="s">
        <v>125</v>
      </c>
      <c r="E19" s="5" t="s">
        <v>66</v>
      </c>
      <c r="F19" s="4"/>
      <c r="G19" s="17" t="s">
        <v>126</v>
      </c>
      <c r="H19" s="17" t="s">
        <v>66</v>
      </c>
      <c r="I19" s="17" t="s">
        <v>127</v>
      </c>
    </row>
    <row r="20" spans="1:9" x14ac:dyDescent="0.2">
      <c r="A20" s="4" t="s">
        <v>128</v>
      </c>
      <c r="B20" s="4" t="s">
        <v>129</v>
      </c>
      <c r="C20" s="4" t="s">
        <v>130</v>
      </c>
      <c r="D20" s="4" t="s">
        <v>131</v>
      </c>
      <c r="E20" s="4" t="s">
        <v>128</v>
      </c>
      <c r="F20" s="4" t="str">
        <f>"list[]." &amp; Table1[[#This Row],[OWM v2.5: Current]]</f>
        <v>list[].wind.speed</v>
      </c>
      <c r="G20" s="17" t="s">
        <v>132</v>
      </c>
      <c r="H20" s="17" t="s">
        <v>133</v>
      </c>
      <c r="I20" s="17" t="s">
        <v>134</v>
      </c>
    </row>
    <row r="21" spans="1:9" x14ac:dyDescent="0.2">
      <c r="A21" s="4" t="s">
        <v>135</v>
      </c>
      <c r="B21" s="4" t="s">
        <v>136</v>
      </c>
      <c r="C21" s="4" t="s">
        <v>137</v>
      </c>
      <c r="D21" s="4" t="s">
        <v>138</v>
      </c>
      <c r="E21" s="4" t="s">
        <v>135</v>
      </c>
      <c r="F21" s="4" t="str">
        <f>"list[]." &amp; Table1[[#This Row],[OWM v2.5: Current]]</f>
        <v>list[].wind.deg</v>
      </c>
      <c r="G21" s="17" t="s">
        <v>139</v>
      </c>
      <c r="H21" s="17" t="s">
        <v>140</v>
      </c>
      <c r="I21" s="17" t="s">
        <v>141</v>
      </c>
    </row>
    <row r="22" spans="1:9" x14ac:dyDescent="0.2">
      <c r="A22" s="4" t="s">
        <v>142</v>
      </c>
      <c r="B22" s="4" t="s">
        <v>143</v>
      </c>
      <c r="C22" s="4" t="s">
        <v>144</v>
      </c>
      <c r="D22" s="4" t="s">
        <v>145</v>
      </c>
      <c r="E22" s="4" t="s">
        <v>142</v>
      </c>
      <c r="F22" s="4" t="str">
        <f>"list[]." &amp; Table1[[#This Row],[OWM v2.5: Current]]</f>
        <v>list[].wind.gust</v>
      </c>
      <c r="G22" s="17" t="s">
        <v>146</v>
      </c>
      <c r="H22" s="17" t="s">
        <v>147</v>
      </c>
      <c r="I22" s="17" t="s">
        <v>148</v>
      </c>
    </row>
    <row r="23" spans="1:9" x14ac:dyDescent="0.2">
      <c r="A23" s="4" t="s">
        <v>149</v>
      </c>
      <c r="B23" s="8" t="s">
        <v>150</v>
      </c>
      <c r="C23" s="8" t="s">
        <v>150</v>
      </c>
      <c r="D23" s="8" t="s">
        <v>150</v>
      </c>
      <c r="E23" s="4" t="str">
        <f>Table1[[#This Row],[OWM v3: Current]]</f>
        <v>="km/h"</v>
      </c>
      <c r="F23" s="4" t="str">
        <f>Table1[[#This Row],[OWM v3: Current]]</f>
        <v>="km/h"</v>
      </c>
      <c r="G23" s="17" t="str">
        <f>"km/h"</f>
        <v>km/h</v>
      </c>
      <c r="H23" s="17" t="str">
        <f>"km/h"</f>
        <v>km/h</v>
      </c>
      <c r="I23" s="17" t="str">
        <f>"km/h"</f>
        <v>km/h</v>
      </c>
    </row>
    <row r="24" spans="1:9" x14ac:dyDescent="0.2">
      <c r="A24" s="4" t="s">
        <v>151</v>
      </c>
      <c r="B24" s="4" t="s">
        <v>152</v>
      </c>
      <c r="C24" s="4" t="s">
        <v>152</v>
      </c>
      <c r="D24" s="4" t="s">
        <v>153</v>
      </c>
      <c r="E24" s="5" t="s">
        <v>66</v>
      </c>
      <c r="F24" s="5" t="s">
        <v>66</v>
      </c>
      <c r="G24" s="17" t="s">
        <v>92</v>
      </c>
      <c r="H24" s="17" t="s">
        <v>93</v>
      </c>
      <c r="I24" s="17" t="s">
        <v>94</v>
      </c>
    </row>
    <row r="25" spans="1:9" x14ac:dyDescent="0.2">
      <c r="A25" s="4" t="s">
        <v>154</v>
      </c>
      <c r="B25" s="5" t="s">
        <v>66</v>
      </c>
      <c r="C25" s="4" t="s">
        <v>155</v>
      </c>
      <c r="D25" s="4" t="s">
        <v>156</v>
      </c>
      <c r="E25" s="4" t="s">
        <v>157</v>
      </c>
      <c r="F25" s="4" t="s">
        <v>158</v>
      </c>
      <c r="G25" s="17" t="s">
        <v>159</v>
      </c>
      <c r="H25" s="17" t="s">
        <v>160</v>
      </c>
      <c r="I25" s="17" t="s">
        <v>161</v>
      </c>
    </row>
    <row r="26" spans="1:9" x14ac:dyDescent="0.2">
      <c r="A26" s="4" t="s">
        <v>162</v>
      </c>
      <c r="B26" s="4" t="s">
        <v>231</v>
      </c>
      <c r="C26" s="4" t="s">
        <v>163</v>
      </c>
      <c r="D26" s="4" t="s">
        <v>232</v>
      </c>
      <c r="E26" s="5" t="s">
        <v>66</v>
      </c>
      <c r="F26" s="4" t="s">
        <v>164</v>
      </c>
      <c r="G26" s="17" t="s">
        <v>165</v>
      </c>
      <c r="H26" s="17" t="s">
        <v>166</v>
      </c>
      <c r="I26" s="17" t="s">
        <v>167</v>
      </c>
    </row>
    <row r="27" spans="1:9" x14ac:dyDescent="0.2">
      <c r="A27" s="4" t="s">
        <v>168</v>
      </c>
      <c r="B27" s="4" t="s">
        <v>169</v>
      </c>
      <c r="C27" s="4" t="s">
        <v>170</v>
      </c>
      <c r="D27" s="4" t="s">
        <v>171</v>
      </c>
      <c r="E27" s="4" t="s">
        <v>172</v>
      </c>
      <c r="F27" s="4" t="str">
        <f>"list[]." &amp; Table1[[#This Row],[OWM v2.5: Current]]</f>
        <v>list[].main.pressure</v>
      </c>
      <c r="G27" s="17" t="s">
        <v>173</v>
      </c>
      <c r="H27" s="17" t="s">
        <v>174</v>
      </c>
      <c r="I27" s="17" t="s">
        <v>175</v>
      </c>
    </row>
    <row r="28" spans="1:9" x14ac:dyDescent="0.2">
      <c r="A28" s="4" t="s">
        <v>176</v>
      </c>
      <c r="B28" s="4" t="s">
        <v>177</v>
      </c>
      <c r="C28" s="4" t="s">
        <v>178</v>
      </c>
      <c r="D28" s="4" t="s">
        <v>179</v>
      </c>
      <c r="E28" s="4" t="s">
        <v>180</v>
      </c>
      <c r="F28" s="4" t="str">
        <f>"list[]." &amp; Table1[[#This Row],[OWM v2.5: Current]]</f>
        <v>list[].main.humidity</v>
      </c>
      <c r="G28" s="17" t="s">
        <v>181</v>
      </c>
      <c r="H28" s="17" t="s">
        <v>182</v>
      </c>
      <c r="I28" s="17" t="s">
        <v>183</v>
      </c>
    </row>
    <row r="29" spans="1:9" x14ac:dyDescent="0.2">
      <c r="A29" s="4" t="s">
        <v>184</v>
      </c>
      <c r="B29" s="4" t="s">
        <v>185</v>
      </c>
      <c r="C29" s="4" t="s">
        <v>186</v>
      </c>
      <c r="D29" s="4" t="s">
        <v>187</v>
      </c>
      <c r="E29" s="5" t="s">
        <v>66</v>
      </c>
      <c r="F29" s="5" t="s">
        <v>66</v>
      </c>
      <c r="G29" s="17" t="s">
        <v>188</v>
      </c>
      <c r="H29" s="17" t="s">
        <v>189</v>
      </c>
      <c r="I29" s="17" t="s">
        <v>190</v>
      </c>
    </row>
    <row r="30" spans="1:9" x14ac:dyDescent="0.2">
      <c r="A30" s="4" t="s">
        <v>191</v>
      </c>
      <c r="B30" s="4" t="s">
        <v>192</v>
      </c>
      <c r="C30" s="4" t="str">
        <f>Table1[[#This Row],[OWM v3: Current]]</f>
        <v>daily[0].sunrise</v>
      </c>
      <c r="D30" s="4" t="s">
        <v>193</v>
      </c>
      <c r="E30" s="4" t="s">
        <v>194</v>
      </c>
      <c r="F30" s="7" t="s">
        <v>195</v>
      </c>
      <c r="G30" s="17" t="s">
        <v>196</v>
      </c>
      <c r="H30" s="17" t="s">
        <v>197</v>
      </c>
      <c r="I30" s="17" t="s">
        <v>198</v>
      </c>
    </row>
    <row r="31" spans="1:9" x14ac:dyDescent="0.2">
      <c r="A31" s="4" t="s">
        <v>199</v>
      </c>
      <c r="B31" s="4" t="s">
        <v>200</v>
      </c>
      <c r="C31" s="4" t="str">
        <f>Table1[[#This Row],[OWM v3: Current]]</f>
        <v>daily[0].sunset</v>
      </c>
      <c r="D31" s="4" t="s">
        <v>201</v>
      </c>
      <c r="E31" s="4" t="s">
        <v>202</v>
      </c>
      <c r="F31" s="7" t="s">
        <v>195</v>
      </c>
      <c r="G31" s="17" t="s">
        <v>203</v>
      </c>
      <c r="H31" s="17" t="s">
        <v>204</v>
      </c>
      <c r="I31" s="17" t="s">
        <v>205</v>
      </c>
    </row>
    <row r="32" spans="1:9" x14ac:dyDescent="0.2">
      <c r="A32" s="4"/>
      <c r="B32" s="4"/>
      <c r="C32" s="4"/>
      <c r="D32" s="4"/>
      <c r="E32" s="4"/>
      <c r="F32" s="4"/>
      <c r="G32" s="15"/>
      <c r="H32" s="15"/>
      <c r="I32" s="15"/>
    </row>
    <row r="33" spans="1:9" x14ac:dyDescent="0.2">
      <c r="A33" s="9" t="s">
        <v>206</v>
      </c>
      <c r="B33" s="3"/>
      <c r="C33" s="3"/>
      <c r="D33" s="3"/>
      <c r="E33" s="3"/>
      <c r="F33" s="3"/>
      <c r="G33" s="16"/>
      <c r="H33" s="16"/>
      <c r="I33" s="16"/>
    </row>
    <row r="34" spans="1:9" ht="34" x14ac:dyDescent="0.2">
      <c r="A34" s="4" t="s">
        <v>207</v>
      </c>
      <c r="B34" s="10" t="s">
        <v>208</v>
      </c>
      <c r="C34" s="11" t="str">
        <f>Table1[[#This Row],[OWM v3: Current]]</f>
        <v>="OpenWeatherMap One Call API"</v>
      </c>
      <c r="D34" s="11" t="str">
        <f>Table1[[#This Row],[OWM v3: Current]]</f>
        <v>="OpenWeatherMap One Call API"</v>
      </c>
      <c r="E34" s="11"/>
      <c r="F34" s="11"/>
      <c r="G34" s="15" t="str">
        <f>"Open-Meteo Forecast API"</f>
        <v>Open-Meteo Forecast API</v>
      </c>
      <c r="H34" s="15" t="str">
        <f>"Open-Meteo Forecast API"</f>
        <v>Open-Meteo Forecast API</v>
      </c>
      <c r="I34" s="15" t="str">
        <f>"Open-Meteo Forecast API"</f>
        <v>Open-Meteo Forecast API</v>
      </c>
    </row>
    <row r="35" spans="1:9" ht="17" x14ac:dyDescent="0.2">
      <c r="A35" s="4" t="s">
        <v>209</v>
      </c>
      <c r="B35" s="4" t="s">
        <v>210</v>
      </c>
      <c r="C35" s="4" t="str">
        <f>Table1[[#This Row],[OWM v3: Current]]</f>
        <v>lat</v>
      </c>
      <c r="D35" s="4" t="str">
        <f>Table1[[#This Row],[OWM v3: Current]]</f>
        <v>lat</v>
      </c>
      <c r="E35" s="4" t="s">
        <v>211</v>
      </c>
      <c r="F35" s="7" t="s">
        <v>195</v>
      </c>
      <c r="G35" s="15" t="s">
        <v>209</v>
      </c>
      <c r="H35" s="15" t="s">
        <v>209</v>
      </c>
      <c r="I35" s="15" t="s">
        <v>209</v>
      </c>
    </row>
    <row r="36" spans="1:9" ht="17" x14ac:dyDescent="0.2">
      <c r="A36" s="4" t="s">
        <v>212</v>
      </c>
      <c r="B36" s="4" t="s">
        <v>213</v>
      </c>
      <c r="C36" s="4" t="str">
        <f>Table1[[#This Row],[OWM v3: Current]]</f>
        <v>long</v>
      </c>
      <c r="D36" s="4" t="str">
        <f>Table1[[#This Row],[OWM v3: Current]]</f>
        <v>long</v>
      </c>
      <c r="E36" s="4" t="s">
        <v>214</v>
      </c>
      <c r="F36" s="7" t="s">
        <v>195</v>
      </c>
      <c r="G36" s="15" t="s">
        <v>215</v>
      </c>
      <c r="H36" s="15" t="s">
        <v>215</v>
      </c>
      <c r="I36" s="15" t="s">
        <v>215</v>
      </c>
    </row>
    <row r="37" spans="1:9" ht="17" x14ac:dyDescent="0.2">
      <c r="A37" s="4" t="s">
        <v>216</v>
      </c>
      <c r="B37" s="4" t="s">
        <v>217</v>
      </c>
      <c r="C37" s="4" t="str">
        <f>Table1[[#This Row],[OWM v3: Current]]</f>
        <v>timezone</v>
      </c>
      <c r="D37" s="4" t="str">
        <f>Table1[[#This Row],[OWM v3: Current]]</f>
        <v>timezone</v>
      </c>
      <c r="E37" s="7" t="s">
        <v>66</v>
      </c>
      <c r="F37" s="5" t="str">
        <f>Table1[[#This Row],[OWM v2.5: Current]]</f>
        <v>None</v>
      </c>
      <c r="G37" s="15" t="s">
        <v>217</v>
      </c>
      <c r="H37" s="15" t="s">
        <v>217</v>
      </c>
      <c r="I37" s="15" t="s">
        <v>217</v>
      </c>
    </row>
    <row r="38" spans="1:9" ht="17" x14ac:dyDescent="0.2">
      <c r="A38" s="4" t="s">
        <v>218</v>
      </c>
      <c r="B38" s="4" t="s">
        <v>218</v>
      </c>
      <c r="C38" s="4" t="str">
        <f>Table1[[#This Row],[OWM v3: Current]]</f>
        <v>timezone_offset</v>
      </c>
      <c r="D38" s="4" t="str">
        <f>Table1[[#This Row],[OWM v3: Current]]</f>
        <v>timezone_offset</v>
      </c>
      <c r="E38" s="4" t="str">
        <f>Table1[[#This Row],[OWM v3: Current]]</f>
        <v>timezone_offset</v>
      </c>
      <c r="F38" s="7" t="s">
        <v>195</v>
      </c>
      <c r="G38" s="15" t="s">
        <v>219</v>
      </c>
      <c r="H38" s="15" t="s">
        <v>219</v>
      </c>
      <c r="I38" s="15" t="s">
        <v>219</v>
      </c>
    </row>
    <row r="39" spans="1:9" x14ac:dyDescent="0.2">
      <c r="A39" s="4"/>
      <c r="B39" s="4"/>
      <c r="C39" s="4"/>
      <c r="D39" s="4"/>
      <c r="E39" s="4"/>
      <c r="F39" s="4"/>
      <c r="G39" s="4"/>
      <c r="H39" s="4"/>
      <c r="I39" s="4"/>
    </row>
    <row r="41" spans="1:9" x14ac:dyDescent="0.2">
      <c r="A41" s="13" t="s">
        <v>220</v>
      </c>
    </row>
    <row r="42" spans="1:9" x14ac:dyDescent="0.2">
      <c r="A42" t="s">
        <v>221</v>
      </c>
    </row>
    <row r="43" spans="1:9" x14ac:dyDescent="0.2">
      <c r="A43" t="s">
        <v>222</v>
      </c>
    </row>
    <row r="44" spans="1:9" x14ac:dyDescent="0.2">
      <c r="A44" t="s">
        <v>223</v>
      </c>
    </row>
    <row r="45" spans="1:9" x14ac:dyDescent="0.2">
      <c r="A45" s="2" t="s">
        <v>224</v>
      </c>
    </row>
    <row r="46" spans="1:9" x14ac:dyDescent="0.2">
      <c r="A46" t="s">
        <v>225</v>
      </c>
    </row>
    <row r="47" spans="1:9" x14ac:dyDescent="0.2">
      <c r="A47" s="2" t="s">
        <v>226</v>
      </c>
    </row>
  </sheetData>
  <hyperlinks>
    <hyperlink ref="A45" r:id="rId1" xr:uid="{00000000-0004-0000-0000-00000E000000}"/>
    <hyperlink ref="A47" r:id="rId2" xr:uid="{00000000-0004-0000-0000-00000F000000}"/>
  </hyperlinks>
  <pageMargins left="0.7" right="0.7" top="0.75" bottom="0.75" header="0.3" footer="0.3"/>
  <pageSetup paperSize="9" orientation="portrait" horizontalDpi="0" verticalDpi="0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Providers</vt:lpstr>
      <vt:lpstr>Field 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Elsey</dc:creator>
  <cp:lastModifiedBy>Nick Elsey</cp:lastModifiedBy>
  <dcterms:created xsi:type="dcterms:W3CDTF">2026-03-10T05:29:33Z</dcterms:created>
  <dcterms:modified xsi:type="dcterms:W3CDTF">2026-03-10T23:11:54Z</dcterms:modified>
</cp:coreProperties>
</file>